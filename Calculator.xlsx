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Undertow\Downloads\"/>
    </mc:Choice>
  </mc:AlternateContent>
  <xr:revisionPtr revIDLastSave="0" documentId="8_{66EEFAE9-E232-4ACE-816D-E2E974CDF2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lculator" sheetId="2" r:id="rId1"/>
    <sheet name="Influencers" sheetId="4" r:id="rId2"/>
  </sheets>
  <definedNames>
    <definedName name="ExternalData_1" localSheetId="1" hidden="1">Influencers!$A$1:$I$44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13" i="2"/>
  <c r="D13" i="2" s="1"/>
  <c r="G13" i="2" s="1"/>
  <c r="E13" i="2" s="1"/>
  <c r="B12" i="2"/>
  <c r="D12" i="2" s="1"/>
  <c r="G12" i="2" s="1"/>
  <c r="E12" i="2" s="1"/>
  <c r="B10" i="2"/>
  <c r="B31" i="2" s="1"/>
  <c r="D31" i="2" s="1"/>
  <c r="G31" i="2" s="1"/>
  <c r="E31" i="2" s="1"/>
  <c r="B9" i="2"/>
  <c r="B18" i="2" s="1"/>
  <c r="D18" i="2" s="1"/>
  <c r="G18" i="2" s="1"/>
  <c r="B8" i="2"/>
  <c r="B17" i="2" s="1"/>
  <c r="D17" i="2" s="1"/>
  <c r="G17" i="2" s="1"/>
  <c r="D7" i="2"/>
  <c r="G7" i="2" s="1"/>
  <c r="E7" i="2" s="1"/>
  <c r="B27" i="2"/>
  <c r="D27" i="2" s="1"/>
  <c r="G27" i="2" s="1"/>
  <c r="E27" i="2" s="1"/>
  <c r="F35" i="2"/>
  <c r="F38" i="2" s="1"/>
  <c r="B19" i="2" l="1"/>
  <c r="D19" i="2" s="1"/>
  <c r="G19" i="2" s="1"/>
  <c r="E19" i="2" s="1"/>
  <c r="B25" i="2"/>
  <c r="D25" i="2" s="1"/>
  <c r="G25" i="2" s="1"/>
  <c r="E25" i="2" s="1"/>
  <c r="D10" i="2"/>
  <c r="G10" i="2" s="1"/>
  <c r="E10" i="2" s="1"/>
  <c r="B23" i="2"/>
  <c r="D23" i="2" s="1"/>
  <c r="G23" i="2" s="1"/>
  <c r="E23" i="2" s="1"/>
  <c r="B11" i="2"/>
  <c r="B24" i="2"/>
  <c r="D24" i="2" s="1"/>
  <c r="G24" i="2" s="1"/>
  <c r="E24" i="2" s="1"/>
  <c r="B30" i="2"/>
  <c r="D30" i="2" s="1"/>
  <c r="G30" i="2" s="1"/>
  <c r="E30" i="2" s="1"/>
  <c r="D9" i="2"/>
  <c r="G9" i="2" s="1"/>
  <c r="E9" i="2" s="1"/>
  <c r="B29" i="2"/>
  <c r="D29" i="2" s="1"/>
  <c r="G29" i="2" s="1"/>
  <c r="E29" i="2" s="1"/>
  <c r="D8" i="2"/>
  <c r="G8" i="2" s="1"/>
  <c r="E8" i="2" s="1"/>
  <c r="D11" i="2"/>
  <c r="G11" i="2" s="1"/>
  <c r="E11" i="2" s="1"/>
  <c r="B28" i="2"/>
  <c r="D28" i="2" s="1"/>
  <c r="G28" i="2" s="1"/>
  <c r="E28" i="2" s="1"/>
  <c r="B22" i="2"/>
  <c r="D22" i="2" s="1"/>
  <c r="G22" i="2" s="1"/>
  <c r="E22" i="2" s="1"/>
  <c r="B16" i="2"/>
  <c r="D16" i="2" s="1"/>
  <c r="G16" i="2" s="1"/>
  <c r="B33" i="2"/>
  <c r="D33" i="2" s="1"/>
  <c r="G33" i="2" s="1"/>
  <c r="E33" i="2" s="1"/>
  <c r="B15" i="2"/>
  <c r="D15" i="2" s="1"/>
  <c r="G15" i="2" s="1"/>
  <c r="E15" i="2" s="1"/>
  <c r="B21" i="2"/>
  <c r="D21" i="2" s="1"/>
  <c r="G21" i="2" s="1"/>
  <c r="E21" i="2" s="1"/>
  <c r="D6" i="2"/>
  <c r="G6" i="2" s="1"/>
  <c r="E6" i="2" s="1"/>
  <c r="G35" i="2"/>
  <c r="B44" i="2"/>
  <c r="B45" i="2" s="1"/>
  <c r="B46" i="2" s="1"/>
  <c r="E16" i="2"/>
  <c r="E17" i="2"/>
  <c r="E18" i="2"/>
  <c r="D38" i="2" l="1"/>
  <c r="B48" i="2"/>
  <c r="B47" i="2"/>
  <c r="E38" i="2"/>
  <c r="G3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F35702-43B8-40C7-A0D6-84F1EDA9465C}" keepAlive="1" name="Query - Influencers" description="Connection to the 'Influencers' query in the workbook." type="5" refreshedVersion="8" background="1" saveData="1">
    <dbPr connection="Provider=Microsoft.Mashup.OleDb.1;Data Source=$Workbook$;Location=Influencers;Extended Properties=&quot;&quot;" command="SELECT * FROM [Influencers]"/>
  </connection>
</connections>
</file>

<file path=xl/sharedStrings.xml><?xml version="1.0" encoding="utf-8"?>
<sst xmlns="http://schemas.openxmlformats.org/spreadsheetml/2006/main" count="132" uniqueCount="93">
  <si>
    <t>Talent:</t>
  </si>
  <si>
    <t>Courtenay Louise</t>
  </si>
  <si>
    <t>SOCIAL MEDIA RATES</t>
  </si>
  <si>
    <t>Rate</t>
  </si>
  <si>
    <t>Quantity</t>
  </si>
  <si>
    <t>Talent fee</t>
  </si>
  <si>
    <t>Liquorice commission</t>
  </si>
  <si>
    <t>Liquorice ASF</t>
  </si>
  <si>
    <t>Sub total</t>
  </si>
  <si>
    <t>CONTENT</t>
  </si>
  <si>
    <t>Instagram Photo</t>
  </si>
  <si>
    <t>x</t>
  </si>
  <si>
    <t>Instagram Story (3-part frames or 45 sec video)</t>
  </si>
  <si>
    <t>Instagram Reel</t>
  </si>
  <si>
    <t>Instagram carousel up to 5 still frames</t>
  </si>
  <si>
    <t>TikTok</t>
  </si>
  <si>
    <t>Video cross posted on both TikTok &amp; Instagram</t>
  </si>
  <si>
    <t>YouTube Shorts</t>
  </si>
  <si>
    <t>YouTube integration up to 60 sec</t>
  </si>
  <si>
    <t>PAID AD RIGHTS (up to 1 month)</t>
  </si>
  <si>
    <t>Instagram Photo paid ad rights</t>
  </si>
  <si>
    <t>Instagram Story paid ad rights</t>
  </si>
  <si>
    <t>Instagram Reel paid ad rights</t>
  </si>
  <si>
    <t>Instagram carousel paid ad rights</t>
  </si>
  <si>
    <t>TikTok paid ad rights</t>
  </si>
  <si>
    <t>TALENT BOOSTING (via ad code, up to one month)</t>
  </si>
  <si>
    <t>Instagram Photo talent boosting rights</t>
  </si>
  <si>
    <t>Instagram Story (3-part frames or 45 sec video) talent boosting rights</t>
  </si>
  <si>
    <t>Instagram Reel talent boosting rights</t>
  </si>
  <si>
    <t>Instagram carousel talent boosting rights</t>
  </si>
  <si>
    <t xml:space="preserve">TikTok talent boost rights </t>
  </si>
  <si>
    <t>UGC (client channel only)</t>
  </si>
  <si>
    <t>Instagram Photo UGC</t>
  </si>
  <si>
    <t>Instagram Story (3-part frames or 45 sec video) UGC</t>
  </si>
  <si>
    <t>Instagram Reel UGC</t>
  </si>
  <si>
    <t>Instagram carousel UGC</t>
  </si>
  <si>
    <t>TikTok UGC</t>
  </si>
  <si>
    <t>EXTRA EXCLUSIVITY (beyond 1 month)</t>
  </si>
  <si>
    <t xml:space="preserve">1 month </t>
  </si>
  <si>
    <t>AGENCY SERVICE FEE (enter duration in months)</t>
  </si>
  <si>
    <t>Agency service fee*</t>
  </si>
  <si>
    <t>*$500 ASF for the first month, then $100 per month from month two onwards</t>
  </si>
  <si>
    <t>TOTAL</t>
  </si>
  <si>
    <t>TOTALS</t>
  </si>
  <si>
    <t xml:space="preserve">IF CLIENT OFFERING IS NOT STANDARD RATES </t>
  </si>
  <si>
    <t> </t>
  </si>
  <si>
    <t>Enter total offer</t>
  </si>
  <si>
    <t>Enter ASF</t>
  </si>
  <si>
    <t>Offer less ASF</t>
  </si>
  <si>
    <t>Liquorice total including booking fee</t>
  </si>
  <si>
    <t>Name</t>
  </si>
  <si>
    <t>Ameliaranne Ekenasio</t>
  </si>
  <si>
    <t>Charnze Nicoll-Klokstad</t>
  </si>
  <si>
    <t>DJ Forbes</t>
  </si>
  <si>
    <t>Daisy Clementine Smith</t>
  </si>
  <si>
    <t>Dallin Watene-Zelezniak</t>
  </si>
  <si>
    <t>Dan Mack</t>
  </si>
  <si>
    <t>Dave Letele</t>
  </si>
  <si>
    <t>Du’Plessis Kirifi</t>
  </si>
  <si>
    <t>Elka Drozdowski</t>
  </si>
  <si>
    <t>Ellie Fitzgerald</t>
  </si>
  <si>
    <t>Evie Kemp</t>
  </si>
  <si>
    <t>Fiona Wright</t>
  </si>
  <si>
    <t>Franz Liua'ana</t>
  </si>
  <si>
    <t>Greer Perenara</t>
  </si>
  <si>
    <t>Hana Tapiata</t>
  </si>
  <si>
    <t>In Joon Park</t>
  </si>
  <si>
    <t>Jana MacPherson</t>
  </si>
  <si>
    <t>Jane Joo</t>
  </si>
  <si>
    <t>Jay-Jay Feeney</t>
  </si>
  <si>
    <t>Jess Molina</t>
  </si>
  <si>
    <t>Justine Shera</t>
  </si>
  <si>
    <t>Kasia Stanicich</t>
  </si>
  <si>
    <t>Katma</t>
  </si>
  <si>
    <t>LeeAnn Yare</t>
  </si>
  <si>
    <t>Liv Martin</t>
  </si>
  <si>
    <t>Lou Heller</t>
  </si>
  <si>
    <t>Lou Morley</t>
  </si>
  <si>
    <t>Maddy Gordon</t>
  </si>
  <si>
    <t>Mary Outram</t>
  </si>
  <si>
    <t>Micah Heath</t>
  </si>
  <si>
    <t>Mila Reuelu-Buchanan</t>
  </si>
  <si>
    <t>Nat Pua</t>
  </si>
  <si>
    <t>Parris Mason</t>
  </si>
  <si>
    <t>Rachel Rakich</t>
  </si>
  <si>
    <t>Shradha Marshall</t>
  </si>
  <si>
    <t>Sophia Tipiwai-Brett</t>
  </si>
  <si>
    <t>Sophie Stephens</t>
  </si>
  <si>
    <t>Tawera Marsh</t>
  </si>
  <si>
    <t>Theresa Fitzpatrick</t>
  </si>
  <si>
    <t>TimProvise</t>
  </si>
  <si>
    <t>Xixi Amethyst</t>
  </si>
  <si>
    <t>Zarya Ioka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</si>
</sst>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_-&quot;$&quot;* #,##0.00_-;\-&quot;$&quot;* #,##0.00_-;_-&quot;$&quot;* &quot;-&quot;??_-;_-@_-"/>
    <numFmt numFmtId="165" formatCode="_([$$-409]* #,##0.00_);_([$$-409]* \(#,##0.00\);_([$$-409]* &quot;-&quot;??_);_(@_)"/>
  </numFmts>
  <fonts count="21"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sz val="9"/>
      <color theme="1"/>
      <name val="Century Gothic"/>
      <family val="2"/>
    </font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sz val="9"/>
      <color theme="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sz val="9"/>
      <color theme="0" tint="-0.499984740745262"/>
      <name val="Century Gothic"/>
      <family val="2"/>
    </font>
    <font>
      <sz val="9"/>
      <name val="Century Gothic"/>
    </font>
    <font>
      <sz val="9"/>
      <color theme="1"/>
      <name val="Century Gothic"/>
    </font>
    <font>
      <b/>
      <i/>
      <sz val="9"/>
      <color theme="1"/>
      <name val="Century Gothic"/>
      <family val="2"/>
    </font>
    <font>
      <sz val="9"/>
      <color rgb="FF000000"/>
      <name val="Century Gothic"/>
      <family val="2"/>
    </font>
    <font>
      <b/>
      <sz val="9"/>
      <color theme="1"/>
      <name val="Century Gothic"/>
    </font>
    <font>
      <sz val="9"/>
      <color theme="2" tint="-9.9978637043366805E-2"/>
      <name val="Century Gothic"/>
      <family val="2"/>
    </font>
    <font>
      <sz val="9"/>
      <color theme="2" tint="-9.9978637043366805E-2"/>
      <name val="Century Gothic"/>
    </font>
    <font>
      <b/>
      <sz val="9"/>
      <color rgb="FF000000"/>
      <name val="Century Gothic"/>
      <family val="2"/>
    </font>
    <font>
      <i/>
      <sz val="8"/>
      <name val="Century Gothic"/>
      <family val="2"/>
    </font>
    <font>
      <b/>
      <sz val="14"/>
      <color theme="1"/>
      <name val="Century Gothic"/>
      <family val="2"/>
    </font>
    <font>
      <b/>
      <sz val="16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0" applyFont="1"/>
    <xf numFmtId="0" fontId="6" fillId="2" borderId="0" xfId="0" applyFont="1" applyFill="1"/>
    <xf numFmtId="164" fontId="5" fillId="0" borderId="1" xfId="1" applyFont="1" applyBorder="1"/>
    <xf numFmtId="0" fontId="5" fillId="0" borderId="1" xfId="0" applyFont="1" applyBorder="1"/>
    <xf numFmtId="0" fontId="7" fillId="0" borderId="1" xfId="0" applyFont="1" applyBorder="1"/>
    <xf numFmtId="164" fontId="7" fillId="0" borderId="1" xfId="1" applyFont="1" applyBorder="1"/>
    <xf numFmtId="0" fontId="7" fillId="0" borderId="1" xfId="1" applyNumberFormat="1" applyFont="1" applyBorder="1"/>
    <xf numFmtId="164" fontId="5" fillId="0" borderId="0" xfId="0" applyNumberFormat="1" applyFont="1"/>
    <xf numFmtId="0" fontId="5" fillId="0" borderId="0" xfId="0" applyFont="1"/>
    <xf numFmtId="164" fontId="7" fillId="0" borderId="1" xfId="1" applyFont="1" applyFill="1" applyBorder="1"/>
    <xf numFmtId="0" fontId="7" fillId="0" borderId="1" xfId="1" applyNumberFormat="1" applyFont="1" applyFill="1" applyBorder="1"/>
    <xf numFmtId="0" fontId="7" fillId="0" borderId="0" xfId="0" applyFont="1"/>
    <xf numFmtId="0" fontId="5" fillId="4" borderId="1" xfId="0" applyFont="1" applyFill="1" applyBorder="1" applyAlignment="1">
      <alignment horizontal="center"/>
    </xf>
    <xf numFmtId="164" fontId="8" fillId="4" borderId="1" xfId="1" applyFont="1" applyFill="1" applyBorder="1"/>
    <xf numFmtId="164" fontId="5" fillId="4" borderId="1" xfId="1" applyFont="1" applyFill="1" applyBorder="1"/>
    <xf numFmtId="0" fontId="2" fillId="0" borderId="0" xfId="0" applyFont="1"/>
    <xf numFmtId="165" fontId="7" fillId="0" borderId="1" xfId="1" applyNumberFormat="1" applyFont="1" applyBorder="1"/>
    <xf numFmtId="0" fontId="7" fillId="0" borderId="2" xfId="0" applyFont="1" applyBorder="1"/>
    <xf numFmtId="0" fontId="10" fillId="0" borderId="1" xfId="0" applyFont="1" applyBorder="1"/>
    <xf numFmtId="0" fontId="10" fillId="0" borderId="2" xfId="0" applyFont="1" applyBorder="1"/>
    <xf numFmtId="0" fontId="11" fillId="0" borderId="0" xfId="0" applyFont="1"/>
    <xf numFmtId="0" fontId="10" fillId="0" borderId="1" xfId="1" applyNumberFormat="1" applyFont="1" applyBorder="1"/>
    <xf numFmtId="164" fontId="10" fillId="0" borderId="1" xfId="1" applyFont="1" applyBorder="1"/>
    <xf numFmtId="0" fontId="12" fillId="0" borderId="0" xfId="0" applyFont="1"/>
    <xf numFmtId="0" fontId="14" fillId="4" borderId="1" xfId="0" applyFont="1" applyFill="1" applyBorder="1" applyAlignment="1">
      <alignment horizontal="center"/>
    </xf>
    <xf numFmtId="164" fontId="15" fillId="0" borderId="1" xfId="1" applyFont="1" applyBorder="1" applyAlignment="1">
      <alignment horizontal="center"/>
    </xf>
    <xf numFmtId="164" fontId="16" fillId="0" borderId="1" xfId="1" applyFont="1" applyBorder="1" applyAlignment="1">
      <alignment horizontal="center"/>
    </xf>
    <xf numFmtId="0" fontId="7" fillId="0" borderId="6" xfId="0" applyFont="1" applyBorder="1"/>
    <xf numFmtId="8" fontId="13" fillId="0" borderId="7" xfId="0" applyNumberFormat="1" applyFont="1" applyBorder="1" applyAlignment="1">
      <alignment horizontal="left"/>
    </xf>
    <xf numFmtId="0" fontId="13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64" fontId="13" fillId="0" borderId="7" xfId="1" applyFont="1" applyBorder="1"/>
    <xf numFmtId="0" fontId="13" fillId="5" borderId="9" xfId="0" applyFont="1" applyFill="1" applyBorder="1" applyAlignment="1">
      <alignment horizontal="center"/>
    </xf>
    <xf numFmtId="164" fontId="15" fillId="0" borderId="9" xfId="1" applyFont="1" applyBorder="1" applyAlignment="1">
      <alignment horizontal="center"/>
    </xf>
    <xf numFmtId="164" fontId="13" fillId="0" borderId="9" xfId="1" applyFont="1" applyBorder="1"/>
    <xf numFmtId="0" fontId="7" fillId="0" borderId="5" xfId="0" applyFont="1" applyBorder="1"/>
    <xf numFmtId="165" fontId="10" fillId="0" borderId="5" xfId="1" applyNumberFormat="1" applyFont="1" applyBorder="1"/>
    <xf numFmtId="0" fontId="7" fillId="0" borderId="5" xfId="1" applyNumberFormat="1" applyFont="1" applyBorder="1"/>
    <xf numFmtId="164" fontId="7" fillId="0" borderId="5" xfId="1" applyFont="1" applyBorder="1"/>
    <xf numFmtId="164" fontId="7" fillId="0" borderId="5" xfId="1" applyFont="1" applyFill="1" applyBorder="1"/>
    <xf numFmtId="164" fontId="16" fillId="0" borderId="5" xfId="1" applyFont="1" applyBorder="1" applyAlignment="1">
      <alignment horizontal="center"/>
    </xf>
    <xf numFmtId="165" fontId="10" fillId="0" borderId="7" xfId="1" applyNumberFormat="1" applyFont="1" applyBorder="1"/>
    <xf numFmtId="0" fontId="7" fillId="0" borderId="7" xfId="1" applyNumberFormat="1" applyFont="1" applyBorder="1"/>
    <xf numFmtId="164" fontId="7" fillId="0" borderId="7" xfId="1" applyFont="1" applyBorder="1"/>
    <xf numFmtId="164" fontId="7" fillId="0" borderId="7" xfId="1" applyFont="1" applyFill="1" applyBorder="1"/>
    <xf numFmtId="164" fontId="16" fillId="0" borderId="7" xfId="1" applyFont="1" applyBorder="1" applyAlignment="1">
      <alignment horizontal="center"/>
    </xf>
    <xf numFmtId="164" fontId="7" fillId="0" borderId="8" xfId="1" applyFont="1" applyFill="1" applyBorder="1"/>
    <xf numFmtId="164" fontId="13" fillId="0" borderId="9" xfId="1" applyFont="1" applyBorder="1" applyAlignment="1">
      <alignment horizontal="center"/>
    </xf>
    <xf numFmtId="165" fontId="13" fillId="0" borderId="9" xfId="0" applyNumberFormat="1" applyFont="1" applyBorder="1" applyAlignment="1">
      <alignment horizontal="left"/>
    </xf>
    <xf numFmtId="0" fontId="17" fillId="0" borderId="9" xfId="0" applyFont="1" applyBorder="1"/>
    <xf numFmtId="0" fontId="13" fillId="0" borderId="9" xfId="0" applyFont="1" applyBorder="1"/>
    <xf numFmtId="165" fontId="13" fillId="0" borderId="9" xfId="0" applyNumberFormat="1" applyFont="1" applyBorder="1"/>
    <xf numFmtId="0" fontId="13" fillId="6" borderId="9" xfId="0" applyFont="1" applyFill="1" applyBorder="1"/>
    <xf numFmtId="165" fontId="13" fillId="6" borderId="9" xfId="0" applyNumberFormat="1" applyFont="1" applyFill="1" applyBorder="1"/>
    <xf numFmtId="0" fontId="18" fillId="0" borderId="9" xfId="0" applyFont="1" applyBorder="1" applyAlignment="1">
      <alignment wrapText="1"/>
    </xf>
    <xf numFmtId="0" fontId="7" fillId="0" borderId="10" xfId="0" applyFont="1" applyBorder="1"/>
    <xf numFmtId="164" fontId="1" fillId="0" borderId="0" xfId="1" applyFont="1"/>
    <xf numFmtId="164" fontId="1" fillId="0" borderId="1" xfId="1" applyFont="1" applyBorder="1"/>
    <xf numFmtId="0" fontId="19" fillId="3" borderId="2" xfId="0" applyFont="1" applyFill="1" applyBorder="1"/>
    <xf numFmtId="0" fontId="20" fillId="3" borderId="3" xfId="0" applyFont="1" applyFill="1" applyBorder="1" applyAlignment="1">
      <alignment wrapText="1"/>
    </xf>
    <xf numFmtId="0" fontId="1" fillId="3" borderId="3" xfId="0" applyFont="1" applyFill="1" applyBorder="1"/>
    <xf numFmtId="0" fontId="1" fillId="3" borderId="4" xfId="0" applyFont="1" applyFill="1" applyBorder="1"/>
    <xf numFmtId="0" fontId="1" fillId="0" borderId="0" xfId="0" applyFont="1"/>
    <xf numFmtId="0" fontId="1" fillId="0" borderId="1" xfId="0" applyFont="1" applyBorder="1"/>
    <xf numFmtId="164" fontId="1" fillId="0" borderId="8" xfId="1" applyFont="1" applyBorder="1"/>
    <xf numFmtId="0" fontId="1" fillId="0" borderId="0" xfId="0" applyFont="1" applyAlignment="1">
      <alignment horizontal="center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5" fillId="4" borderId="9" xfId="0" applyFont="1" applyFill="1" applyBorder="1" applyAlignment="1">
      <alignment horizontal="left"/>
    </xf>
    <xf numFmtId="0" fontId="5" fillId="4" borderId="2" xfId="0" quotePrefix="1" applyFont="1" applyFill="1" applyBorder="1" applyAlignment="1">
      <alignment horizontal="left"/>
    </xf>
    <xf numFmtId="0" fontId="5" fillId="4" borderId="3" xfId="0" quotePrefix="1" applyFont="1" applyFill="1" applyBorder="1" applyAlignment="1">
      <alignment horizontal="left"/>
    </xf>
    <xf numFmtId="0" fontId="5" fillId="4" borderId="4" xfId="0" quotePrefix="1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F02FD9-DDEB-4CD2-9948-D93010808159}" autoFormatId="16" applyNumberFormats="0" applyBorderFormats="0" applyFontFormats="0" applyPatternFormats="0" applyAlignmentFormats="0" applyWidthHeightFormats="0">
  <queryTableRefresh nextId="10">
    <queryTableFields count="9">
      <queryTableField id="1" name="Name" tableColumnId="1"/>
      <queryTableField id="2" name="Instagram photo " tableColumnId="2"/>
      <queryTableField id="3" name="Instagram Story (3-part frames or 45 sec video)" tableColumnId="3"/>
      <queryTableField id="4" name="Instagram Reel" tableColumnId="4"/>
      <queryTableField id="5" name="Instagram carousel up to 5 still frames" tableColumnId="5"/>
      <queryTableField id="6" name="TikTok " tableColumnId="6"/>
      <queryTableField id="7" name="Video cross posted on both TikTok &amp; Instagram" tableColumnId="7"/>
      <queryTableField id="8" name="YouTube Short" tableColumnId="8"/>
      <queryTableField id="9" name="YouTube integration up to 60 sec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88D19B-B1A2-41D0-A50C-292909EDB716}" name="Influencers" displayName="Influencers" ref="A1:I44" tableType="queryTable" totalsRowShown="0">
  <autoFilter ref="A1:I44" xr:uid="{4688D19B-B1A2-41D0-A50C-292909EDB716}"/>
  <tableColumns count="9">
    <tableColumn id="1" xr3:uid="{FA9B1C62-539D-4B29-ABCA-A9B40BEF5FE2}" uniqueName="1" name="Name" queryTableFieldId="1" dataDxfId="0"/>
    <tableColumn id="2" xr3:uid="{5A13BF3A-BB43-4BF3-8A6D-F51013C33315}" uniqueName="2" name="Instagram Photo" queryTableFieldId="2"/>
    <tableColumn id="3" xr3:uid="{53063370-D2E3-4887-8A6C-6A5F31C77B9D}" uniqueName="3" name="Instagram Story (3-part frames or 45 sec video)" queryTableFieldId="3"/>
    <tableColumn id="4" xr3:uid="{CBE602D8-8A7B-48BC-9EC5-E3A4886A6DEF}" uniqueName="4" name="Instagram Reel" queryTableFieldId="4"/>
    <tableColumn id="5" xr3:uid="{391DA7D1-D3BC-42DD-89DD-1ECF964B08B9}" uniqueName="5" name="Instagram carousel up to 5 still frames" queryTableFieldId="5"/>
    <tableColumn id="6" xr3:uid="{B1932D5F-F60E-4566-B9B9-66D229588C24}" uniqueName="6" name="TikTok" queryTableFieldId="6"/>
    <tableColumn id="7" xr3:uid="{0E395758-DE41-47C2-A986-A3CE6DF0AB2C}" uniqueName="7" name="Video cross posted on both TikTok &amp; Instagram" queryTableFieldId="7"/>
    <tableColumn id="8" xr3:uid="{AA86DD5F-AAC2-47E4-9E6B-A3F1A6E26F36}" uniqueName="8" name="YouTube Shorts" queryTableFieldId="8"/>
    <tableColumn id="9" xr3:uid="{B1A4C631-2F44-439D-8697-E60DDBD1AE8F}" uniqueName="9" name="YouTube integration up to 60 sec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E00E-A28F-4026-B83F-47061581AB02}">
  <dimension ref="A1:K67"/>
  <sheetViews>
    <sheetView tabSelected="1" topLeftCell="A11" workbookViewId="0">
      <selection activeCell="B1" sqref="B1"/>
    </sheetView>
  </sheetViews>
  <sheetFormatPr defaultColWidth="9.140625" defaultRowHeight="13.15"/>
  <cols>
    <col min="1" max="1" width="59.140625" style="1" bestFit="1" customWidth="1"/>
    <col min="2" max="2" width="35.140625" style="1" customWidth="1"/>
    <col min="3" max="3" width="10.28515625" style="1" customWidth="1"/>
    <col min="4" max="4" width="18.7109375" style="1" customWidth="1"/>
    <col min="5" max="5" width="18.7109375" style="1" bestFit="1" customWidth="1"/>
    <col min="6" max="6" width="14.85546875" style="1" customWidth="1"/>
    <col min="7" max="7" width="11.140625" style="1" customWidth="1"/>
    <col min="8" max="8" width="9.140625" style="1"/>
    <col min="9" max="9" width="32.140625" style="1" customWidth="1"/>
    <col min="10" max="16384" width="9.140625" style="1"/>
  </cols>
  <sheetData>
    <row r="1" spans="1:11" ht="46.5" customHeight="1">
      <c r="A1" s="59" t="s">
        <v>0</v>
      </c>
      <c r="B1" s="60" t="s">
        <v>1</v>
      </c>
      <c r="C1" s="61"/>
      <c r="D1" s="61"/>
      <c r="E1" s="61"/>
      <c r="F1" s="61"/>
      <c r="G1" s="62"/>
      <c r="H1" s="63"/>
      <c r="I1" s="63"/>
      <c r="J1" s="63"/>
      <c r="K1" s="63"/>
    </row>
    <row r="2" spans="1:11">
      <c r="A2" s="2" t="s">
        <v>2</v>
      </c>
      <c r="B2" s="2"/>
      <c r="C2" s="2"/>
      <c r="D2" s="2"/>
      <c r="E2" s="2"/>
      <c r="F2" s="2"/>
      <c r="G2" s="2"/>
      <c r="H2" s="63"/>
      <c r="I2" s="63"/>
      <c r="J2" s="63"/>
      <c r="K2" s="63"/>
    </row>
    <row r="3" spans="1:11">
      <c r="A3" s="64"/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63"/>
      <c r="I3" s="63"/>
      <c r="J3" s="63"/>
      <c r="K3" s="63"/>
    </row>
    <row r="4" spans="1:11">
      <c r="A4" s="28"/>
      <c r="B4" s="29"/>
      <c r="C4" s="30"/>
      <c r="D4" s="31"/>
      <c r="E4" s="63"/>
      <c r="F4" s="32"/>
      <c r="G4" s="65"/>
      <c r="H4" s="63"/>
      <c r="I4" s="63"/>
      <c r="J4" s="63"/>
      <c r="K4" s="63"/>
    </row>
    <row r="5" spans="1:11">
      <c r="A5" s="71" t="s">
        <v>9</v>
      </c>
      <c r="B5" s="72"/>
      <c r="C5" s="72"/>
      <c r="D5" s="72"/>
      <c r="E5" s="72"/>
      <c r="F5" s="72"/>
      <c r="G5" s="73"/>
      <c r="H5" s="63"/>
      <c r="I5" s="63"/>
      <c r="J5" s="63"/>
      <c r="K5" s="63"/>
    </row>
    <row r="6" spans="1:11">
      <c r="A6" s="5" t="s">
        <v>10</v>
      </c>
      <c r="B6" s="17">
        <f>IFERROR(_xlfn.XLOOKUP($B$1, Influencers[Name], Influencers[Instagram Photo], ""), "")</f>
        <v>1100</v>
      </c>
      <c r="C6" s="7"/>
      <c r="D6" s="6">
        <f>B6*C6</f>
        <v>0</v>
      </c>
      <c r="E6" s="6">
        <f>G6-D6</f>
        <v>0</v>
      </c>
      <c r="F6" s="26" t="s">
        <v>11</v>
      </c>
      <c r="G6" s="6">
        <f>D6/0.8</f>
        <v>0</v>
      </c>
      <c r="H6" s="63"/>
      <c r="I6" s="63"/>
      <c r="J6" s="63"/>
      <c r="K6" s="63"/>
    </row>
    <row r="7" spans="1:11">
      <c r="A7" s="5" t="s">
        <v>12</v>
      </c>
      <c r="B7" s="58">
        <f>IFERROR(_xlfn.XLOOKUP($B$1, Influencers[Name], Influencers[Instagram Story (3-part frames or 45 sec video)], ""), "")</f>
        <v>1100</v>
      </c>
      <c r="C7" s="7"/>
      <c r="D7" s="6">
        <f t="shared" ref="D7:D10" si="0">B7*C7</f>
        <v>0</v>
      </c>
      <c r="E7" s="6">
        <f t="shared" ref="E7:E11" si="1">G7-D7</f>
        <v>0</v>
      </c>
      <c r="F7" s="27" t="s">
        <v>11</v>
      </c>
      <c r="G7" s="6">
        <f t="shared" ref="G7:G11" si="2">D7/0.8</f>
        <v>0</v>
      </c>
      <c r="H7" s="63"/>
      <c r="I7" s="63"/>
      <c r="J7" s="63"/>
      <c r="K7" s="63"/>
    </row>
    <row r="8" spans="1:11">
      <c r="A8" s="5" t="s">
        <v>13</v>
      </c>
      <c r="B8" s="58">
        <f>IFERROR(_xlfn.XLOOKUP($B$1, Influencers[Name], Influencers[Instagram Reel], ""), "")</f>
        <v>1600</v>
      </c>
      <c r="C8" s="7"/>
      <c r="D8" s="6">
        <f t="shared" si="0"/>
        <v>0</v>
      </c>
      <c r="E8" s="6">
        <f t="shared" si="1"/>
        <v>0</v>
      </c>
      <c r="F8" s="27" t="s">
        <v>11</v>
      </c>
      <c r="G8" s="6">
        <f t="shared" si="2"/>
        <v>0</v>
      </c>
      <c r="H8" s="63"/>
      <c r="I8" s="63"/>
      <c r="J8" s="63"/>
      <c r="K8" s="63"/>
    </row>
    <row r="9" spans="1:11">
      <c r="A9" s="5" t="s">
        <v>14</v>
      </c>
      <c r="B9" s="58">
        <f>IFERROR(_xlfn.XLOOKUP($B$1, Influencers[Name], Influencers[Instagram carousel up to 5 still frames], ""), "")</f>
        <v>1250</v>
      </c>
      <c r="C9" s="7"/>
      <c r="D9" s="6">
        <f>B9*C9</f>
        <v>0</v>
      </c>
      <c r="E9" s="6">
        <f t="shared" si="1"/>
        <v>0</v>
      </c>
      <c r="F9" s="27" t="s">
        <v>11</v>
      </c>
      <c r="G9" s="6">
        <f t="shared" si="2"/>
        <v>0</v>
      </c>
      <c r="H9" s="63"/>
      <c r="I9" s="63"/>
      <c r="J9" s="63"/>
      <c r="K9" s="63"/>
    </row>
    <row r="10" spans="1:11">
      <c r="A10" s="5" t="s">
        <v>15</v>
      </c>
      <c r="B10" s="58">
        <f>IFERROR(_xlfn.XLOOKUP($B$1, Influencers[Name], Influencers[TikTok], ""), "")</f>
        <v>1850</v>
      </c>
      <c r="C10" s="7"/>
      <c r="D10" s="6">
        <f t="shared" si="0"/>
        <v>0</v>
      </c>
      <c r="E10" s="6">
        <f t="shared" si="1"/>
        <v>0</v>
      </c>
      <c r="F10" s="27" t="s">
        <v>11</v>
      </c>
      <c r="G10" s="6">
        <f t="shared" si="2"/>
        <v>0</v>
      </c>
      <c r="H10" s="63"/>
      <c r="I10" s="63"/>
      <c r="J10" s="63"/>
      <c r="K10" s="63"/>
    </row>
    <row r="11" spans="1:11">
      <c r="A11" s="20" t="s">
        <v>16</v>
      </c>
      <c r="B11" s="6">
        <f>B8+(B10*0.5)</f>
        <v>2525</v>
      </c>
      <c r="C11" s="22"/>
      <c r="D11" s="23">
        <f>B11*C11</f>
        <v>0</v>
      </c>
      <c r="E11" s="6">
        <f t="shared" si="1"/>
        <v>0</v>
      </c>
      <c r="F11" s="27" t="s">
        <v>11</v>
      </c>
      <c r="G11" s="6">
        <f t="shared" si="2"/>
        <v>0</v>
      </c>
      <c r="H11" s="21"/>
      <c r="I11" s="63"/>
      <c r="J11" s="63"/>
      <c r="K11" s="63"/>
    </row>
    <row r="12" spans="1:11">
      <c r="A12" s="18" t="s">
        <v>17</v>
      </c>
      <c r="B12" s="17">
        <f>IFERROR(_xlfn.XLOOKUP($B$1, Influencers[Name], Influencers[YouTube Shorts], ""), "")</f>
        <v>0</v>
      </c>
      <c r="C12" s="7"/>
      <c r="D12" s="6">
        <f>B12*C12</f>
        <v>0</v>
      </c>
      <c r="E12" s="6">
        <f>G12-D12</f>
        <v>0</v>
      </c>
      <c r="F12" s="27" t="s">
        <v>11</v>
      </c>
      <c r="G12" s="6">
        <f t="shared" ref="G12:G13" si="3">D12/0.8</f>
        <v>0</v>
      </c>
      <c r="H12" s="21"/>
      <c r="I12" s="63"/>
      <c r="J12" s="63"/>
      <c r="K12" s="63"/>
    </row>
    <row r="13" spans="1:11">
      <c r="A13" s="5" t="s">
        <v>18</v>
      </c>
      <c r="B13" s="57">
        <f>IFERROR(_xlfn.XLOOKUP($B$1, Influencers[Name], Influencers[YouTube integration up to 60 sec], ""), "")</f>
        <v>0</v>
      </c>
      <c r="C13" s="7"/>
      <c r="D13" s="6">
        <f t="shared" ref="D13" si="4">B13*C13</f>
        <v>0</v>
      </c>
      <c r="E13" s="6">
        <f t="shared" ref="E13" si="5">G13-D13</f>
        <v>0</v>
      </c>
      <c r="F13" s="27" t="s">
        <v>11</v>
      </c>
      <c r="G13" s="6">
        <f t="shared" si="3"/>
        <v>0</v>
      </c>
      <c r="H13" s="21"/>
      <c r="I13" s="63"/>
      <c r="J13" s="63"/>
      <c r="K13" s="63"/>
    </row>
    <row r="14" spans="1:11">
      <c r="A14" s="74" t="s">
        <v>19</v>
      </c>
      <c r="B14" s="75"/>
      <c r="C14" s="75"/>
      <c r="D14" s="75"/>
      <c r="E14" s="75"/>
      <c r="F14" s="75"/>
      <c r="G14" s="76"/>
      <c r="H14" s="63"/>
      <c r="I14" s="63"/>
      <c r="J14" s="63"/>
      <c r="K14" s="63"/>
    </row>
    <row r="15" spans="1:11">
      <c r="A15" s="5" t="s">
        <v>20</v>
      </c>
      <c r="B15" s="10">
        <f>B6/2</f>
        <v>550</v>
      </c>
      <c r="C15" s="11"/>
      <c r="D15" s="10">
        <f>B15*C15</f>
        <v>0</v>
      </c>
      <c r="E15" s="10">
        <f>G15-D15</f>
        <v>0</v>
      </c>
      <c r="F15" s="27" t="s">
        <v>11</v>
      </c>
      <c r="G15" s="10">
        <f>D15/0.8</f>
        <v>0</v>
      </c>
      <c r="H15" s="63"/>
      <c r="I15" s="63"/>
      <c r="J15" s="63"/>
      <c r="K15" s="63"/>
    </row>
    <row r="16" spans="1:11">
      <c r="A16" s="5" t="s">
        <v>21</v>
      </c>
      <c r="B16" s="10">
        <f>B7/2</f>
        <v>550</v>
      </c>
      <c r="C16" s="11"/>
      <c r="D16" s="10">
        <f t="shared" ref="D16:D19" si="6">B16*C16</f>
        <v>0</v>
      </c>
      <c r="E16" s="10">
        <f t="shared" ref="E16:E31" si="7">G16-D16</f>
        <v>0</v>
      </c>
      <c r="F16" s="27" t="s">
        <v>11</v>
      </c>
      <c r="G16" s="10">
        <f t="shared" ref="G16:G31" si="8">D16/0.8</f>
        <v>0</v>
      </c>
      <c r="H16" s="63"/>
      <c r="I16" s="24"/>
      <c r="J16" s="63"/>
      <c r="K16" s="63"/>
    </row>
    <row r="17" spans="1:11">
      <c r="A17" s="5" t="s">
        <v>22</v>
      </c>
      <c r="B17" s="10">
        <f>B8/2</f>
        <v>800</v>
      </c>
      <c r="C17" s="11"/>
      <c r="D17" s="10">
        <f t="shared" si="6"/>
        <v>0</v>
      </c>
      <c r="E17" s="10">
        <f t="shared" si="7"/>
        <v>0</v>
      </c>
      <c r="F17" s="27" t="s">
        <v>11</v>
      </c>
      <c r="G17" s="10">
        <f t="shared" si="8"/>
        <v>0</v>
      </c>
      <c r="H17" s="63"/>
      <c r="I17" s="63"/>
      <c r="J17" s="63"/>
      <c r="K17" s="63"/>
    </row>
    <row r="18" spans="1:11">
      <c r="A18" s="5" t="s">
        <v>23</v>
      </c>
      <c r="B18" s="10">
        <f>B9/2</f>
        <v>625</v>
      </c>
      <c r="C18" s="11"/>
      <c r="D18" s="10">
        <f t="shared" si="6"/>
        <v>0</v>
      </c>
      <c r="E18" s="10">
        <f t="shared" si="7"/>
        <v>0</v>
      </c>
      <c r="F18" s="27" t="s">
        <v>11</v>
      </c>
      <c r="G18" s="10">
        <f t="shared" si="8"/>
        <v>0</v>
      </c>
      <c r="H18" s="63"/>
      <c r="I18" s="63"/>
      <c r="J18" s="63"/>
      <c r="K18" s="63"/>
    </row>
    <row r="19" spans="1:11">
      <c r="A19" s="5" t="s">
        <v>24</v>
      </c>
      <c r="B19" s="10">
        <f>B10/2</f>
        <v>925</v>
      </c>
      <c r="C19" s="11"/>
      <c r="D19" s="10">
        <f t="shared" si="6"/>
        <v>0</v>
      </c>
      <c r="E19" s="10">
        <f t="shared" si="7"/>
        <v>0</v>
      </c>
      <c r="F19" s="27" t="s">
        <v>11</v>
      </c>
      <c r="G19" s="10">
        <f t="shared" si="8"/>
        <v>0</v>
      </c>
      <c r="H19" s="63"/>
      <c r="I19" s="63"/>
      <c r="J19" s="63"/>
      <c r="K19" s="63"/>
    </row>
    <row r="20" spans="1:11">
      <c r="A20" s="67" t="s">
        <v>25</v>
      </c>
      <c r="B20" s="68"/>
      <c r="C20" s="68"/>
      <c r="D20" s="68"/>
      <c r="E20" s="68"/>
      <c r="F20" s="68"/>
      <c r="G20" s="69"/>
      <c r="H20" s="63"/>
      <c r="I20" s="63"/>
      <c r="J20" s="63"/>
      <c r="K20" s="63"/>
    </row>
    <row r="21" spans="1:11" s="16" customFormat="1">
      <c r="A21" s="5" t="s">
        <v>26</v>
      </c>
      <c r="B21" s="10">
        <f>B6*0.3</f>
        <v>330</v>
      </c>
      <c r="C21" s="11"/>
      <c r="D21" s="10">
        <f>B21*C21</f>
        <v>0</v>
      </c>
      <c r="E21" s="10">
        <f>G21-D21</f>
        <v>0</v>
      </c>
      <c r="F21" s="27" t="s">
        <v>11</v>
      </c>
      <c r="G21" s="10">
        <f>D21/0.8</f>
        <v>0</v>
      </c>
      <c r="H21" s="63"/>
      <c r="I21" s="63"/>
      <c r="J21" s="63"/>
      <c r="K21" s="63"/>
    </row>
    <row r="22" spans="1:11" s="16" customFormat="1">
      <c r="A22" s="5" t="s">
        <v>27</v>
      </c>
      <c r="B22" s="10">
        <f>B7*0.3</f>
        <v>330</v>
      </c>
      <c r="C22" s="11"/>
      <c r="D22" s="10">
        <f t="shared" ref="D22" si="9">B22*C22</f>
        <v>0</v>
      </c>
      <c r="E22" s="10">
        <f t="shared" si="7"/>
        <v>0</v>
      </c>
      <c r="F22" s="27" t="s">
        <v>11</v>
      </c>
      <c r="G22" s="10">
        <f t="shared" si="8"/>
        <v>0</v>
      </c>
      <c r="H22" s="63"/>
      <c r="I22" s="63"/>
      <c r="J22" s="63"/>
      <c r="K22" s="63"/>
    </row>
    <row r="23" spans="1:11" s="16" customFormat="1">
      <c r="A23" s="5" t="s">
        <v>28</v>
      </c>
      <c r="B23" s="10">
        <f>B8*0.3</f>
        <v>480</v>
      </c>
      <c r="C23" s="11"/>
      <c r="D23" s="10">
        <f>B23*C23</f>
        <v>0</v>
      </c>
      <c r="E23" s="10">
        <f t="shared" si="7"/>
        <v>0</v>
      </c>
      <c r="F23" s="27" t="s">
        <v>11</v>
      </c>
      <c r="G23" s="10">
        <f t="shared" si="8"/>
        <v>0</v>
      </c>
      <c r="H23" s="63"/>
      <c r="I23" s="63"/>
      <c r="J23" s="63"/>
      <c r="K23" s="63"/>
    </row>
    <row r="24" spans="1:11" s="16" customFormat="1">
      <c r="A24" s="19" t="s">
        <v>29</v>
      </c>
      <c r="B24" s="10">
        <f>B9*0.3</f>
        <v>375</v>
      </c>
      <c r="C24" s="11"/>
      <c r="D24" s="10">
        <f>B24*C24</f>
        <v>0</v>
      </c>
      <c r="E24" s="10">
        <f t="shared" si="7"/>
        <v>0</v>
      </c>
      <c r="F24" s="27" t="s">
        <v>11</v>
      </c>
      <c r="G24" s="10">
        <f t="shared" si="8"/>
        <v>0</v>
      </c>
      <c r="H24" s="63"/>
      <c r="I24" s="63"/>
      <c r="J24" s="63"/>
      <c r="K24" s="63"/>
    </row>
    <row r="25" spans="1:11" s="16" customFormat="1">
      <c r="A25" s="18" t="s">
        <v>30</v>
      </c>
      <c r="B25" s="10">
        <f>B10*0.3</f>
        <v>555</v>
      </c>
      <c r="C25" s="11"/>
      <c r="D25" s="10">
        <f>B25*C25</f>
        <v>0</v>
      </c>
      <c r="E25" s="10">
        <f t="shared" si="7"/>
        <v>0</v>
      </c>
      <c r="F25" s="27" t="s">
        <v>11</v>
      </c>
      <c r="G25" s="10">
        <f t="shared" si="8"/>
        <v>0</v>
      </c>
      <c r="H25" s="63"/>
      <c r="I25" s="63"/>
      <c r="J25" s="63"/>
      <c r="K25" s="63"/>
    </row>
    <row r="26" spans="1:11">
      <c r="A26" s="67" t="s">
        <v>31</v>
      </c>
      <c r="B26" s="68"/>
      <c r="C26" s="68"/>
      <c r="D26" s="68"/>
      <c r="E26" s="68"/>
      <c r="F26" s="68"/>
      <c r="G26" s="69"/>
      <c r="H26" s="63"/>
      <c r="I26" s="63"/>
      <c r="J26" s="63"/>
      <c r="K26" s="63"/>
    </row>
    <row r="27" spans="1:11" s="16" customFormat="1">
      <c r="A27" s="5" t="s">
        <v>32</v>
      </c>
      <c r="B27" s="10">
        <f>B6*0.8</f>
        <v>880</v>
      </c>
      <c r="C27" s="11"/>
      <c r="D27" s="10">
        <f>B27*C27</f>
        <v>0</v>
      </c>
      <c r="E27" s="10">
        <f>G27-D27</f>
        <v>0</v>
      </c>
      <c r="F27" s="27" t="s">
        <v>11</v>
      </c>
      <c r="G27" s="10">
        <f t="shared" si="8"/>
        <v>0</v>
      </c>
      <c r="H27" s="63"/>
      <c r="I27" s="63"/>
      <c r="J27" s="63"/>
      <c r="K27" s="63"/>
    </row>
    <row r="28" spans="1:11" s="16" customFormat="1">
      <c r="A28" s="5" t="s">
        <v>33</v>
      </c>
      <c r="B28" s="10">
        <f>B7*0.8</f>
        <v>880</v>
      </c>
      <c r="C28" s="11"/>
      <c r="D28" s="10">
        <f t="shared" ref="D28" si="10">B28*C28</f>
        <v>0</v>
      </c>
      <c r="E28" s="10">
        <f t="shared" si="7"/>
        <v>0</v>
      </c>
      <c r="F28" s="27" t="s">
        <v>11</v>
      </c>
      <c r="G28" s="10">
        <f t="shared" si="8"/>
        <v>0</v>
      </c>
      <c r="H28" s="63"/>
      <c r="I28" s="63"/>
      <c r="J28" s="63"/>
      <c r="K28" s="63"/>
    </row>
    <row r="29" spans="1:11" s="16" customFormat="1">
      <c r="A29" s="5" t="s">
        <v>34</v>
      </c>
      <c r="B29" s="10">
        <f>B8*0.8</f>
        <v>1280</v>
      </c>
      <c r="C29" s="11"/>
      <c r="D29" s="10">
        <f>B29*C29</f>
        <v>0</v>
      </c>
      <c r="E29" s="10">
        <f t="shared" si="7"/>
        <v>0</v>
      </c>
      <c r="F29" s="27" t="s">
        <v>11</v>
      </c>
      <c r="G29" s="10">
        <f t="shared" si="8"/>
        <v>0</v>
      </c>
      <c r="H29" s="63"/>
      <c r="I29" s="63"/>
      <c r="J29" s="63"/>
      <c r="K29" s="63"/>
    </row>
    <row r="30" spans="1:11" s="16" customFormat="1">
      <c r="A30" s="19" t="s">
        <v>35</v>
      </c>
      <c r="B30" s="10">
        <f>B9*0.8</f>
        <v>1000</v>
      </c>
      <c r="C30" s="11"/>
      <c r="D30" s="10">
        <f>B30*C30</f>
        <v>0</v>
      </c>
      <c r="E30" s="10">
        <f t="shared" si="7"/>
        <v>0</v>
      </c>
      <c r="F30" s="27" t="s">
        <v>11</v>
      </c>
      <c r="G30" s="10">
        <f t="shared" si="8"/>
        <v>0</v>
      </c>
      <c r="H30" s="63"/>
      <c r="I30" s="63"/>
      <c r="J30" s="63"/>
      <c r="K30" s="63"/>
    </row>
    <row r="31" spans="1:11" s="16" customFormat="1">
      <c r="A31" s="18" t="s">
        <v>36</v>
      </c>
      <c r="B31" s="10">
        <f>B10*0.8</f>
        <v>1480</v>
      </c>
      <c r="C31" s="11"/>
      <c r="D31" s="10">
        <f>B31*C31</f>
        <v>0</v>
      </c>
      <c r="E31" s="10">
        <f t="shared" si="7"/>
        <v>0</v>
      </c>
      <c r="F31" s="27" t="s">
        <v>11</v>
      </c>
      <c r="G31" s="10">
        <f t="shared" si="8"/>
        <v>0</v>
      </c>
      <c r="H31" s="63"/>
      <c r="I31" s="63"/>
      <c r="J31" s="63"/>
      <c r="K31" s="63"/>
    </row>
    <row r="32" spans="1:11" s="16" customFormat="1">
      <c r="A32" s="67" t="s">
        <v>37</v>
      </c>
      <c r="B32" s="68"/>
      <c r="C32" s="68"/>
      <c r="D32" s="68"/>
      <c r="E32" s="68"/>
      <c r="F32" s="68"/>
      <c r="G32" s="69"/>
      <c r="H32" s="63"/>
      <c r="I32" s="63"/>
      <c r="J32" s="63"/>
      <c r="K32" s="63"/>
    </row>
    <row r="33" spans="1:11" s="16" customFormat="1">
      <c r="A33" s="36" t="s">
        <v>38</v>
      </c>
      <c r="B33" s="37">
        <f>B6</f>
        <v>1100</v>
      </c>
      <c r="C33" s="38"/>
      <c r="D33" s="39">
        <f>B33*C33</f>
        <v>0</v>
      </c>
      <c r="E33" s="40">
        <f>G33-D33</f>
        <v>0</v>
      </c>
      <c r="F33" s="41" t="s">
        <v>11</v>
      </c>
      <c r="G33" s="40">
        <f>D33/0.8</f>
        <v>0</v>
      </c>
      <c r="H33" s="63"/>
      <c r="I33" s="63"/>
      <c r="J33" s="63"/>
      <c r="K33" s="63"/>
    </row>
    <row r="34" spans="1:11" ht="13.5" customHeight="1">
      <c r="A34" s="70" t="s">
        <v>39</v>
      </c>
      <c r="B34" s="70"/>
      <c r="C34" s="70"/>
      <c r="D34" s="70"/>
      <c r="E34" s="70"/>
      <c r="F34" s="70"/>
      <c r="G34" s="70"/>
      <c r="H34" s="63"/>
      <c r="I34" s="63"/>
      <c r="J34" s="63"/>
      <c r="K34" s="63"/>
    </row>
    <row r="35" spans="1:11">
      <c r="A35" s="56" t="s">
        <v>40</v>
      </c>
      <c r="B35" s="49">
        <v>500</v>
      </c>
      <c r="C35" s="33">
        <v>1</v>
      </c>
      <c r="D35" s="34" t="s">
        <v>11</v>
      </c>
      <c r="E35" s="34" t="s">
        <v>11</v>
      </c>
      <c r="F35" s="35">
        <f>IF(C35=1,500,500 + (C35-1)*100)</f>
        <v>500</v>
      </c>
      <c r="G35" s="48">
        <f>F35</f>
        <v>500</v>
      </c>
      <c r="H35" s="63"/>
      <c r="I35" s="63"/>
      <c r="J35" s="63"/>
      <c r="K35" s="63"/>
    </row>
    <row r="36" spans="1:11" s="16" customFormat="1">
      <c r="A36" s="55" t="s">
        <v>41</v>
      </c>
      <c r="B36" s="42"/>
      <c r="C36" s="43"/>
      <c r="D36" s="44"/>
      <c r="E36" s="45"/>
      <c r="F36" s="46"/>
      <c r="G36" s="47"/>
      <c r="H36" s="63"/>
      <c r="I36" s="63"/>
      <c r="J36" s="63"/>
      <c r="K36" s="63"/>
    </row>
    <row r="37" spans="1:11">
      <c r="A37" s="12"/>
      <c r="B37" s="66"/>
      <c r="C37" s="66"/>
      <c r="D37" s="13" t="s">
        <v>5</v>
      </c>
      <c r="E37" s="25" t="s">
        <v>6</v>
      </c>
      <c r="F37" s="14" t="s">
        <v>7</v>
      </c>
      <c r="G37" s="15" t="s">
        <v>42</v>
      </c>
      <c r="H37" s="63"/>
      <c r="I37" s="63"/>
      <c r="J37" s="63"/>
      <c r="K37" s="63"/>
    </row>
    <row r="38" spans="1:11">
      <c r="A38" s="63"/>
      <c r="B38" s="63"/>
      <c r="C38" s="9" t="s">
        <v>43</v>
      </c>
      <c r="D38" s="3">
        <f>SUM(D6:D36)</f>
        <v>0</v>
      </c>
      <c r="E38" s="3">
        <f>SUM(E6:E36)</f>
        <v>0</v>
      </c>
      <c r="F38" s="3">
        <f>SUM(F35)</f>
        <v>500</v>
      </c>
      <c r="G38" s="3">
        <f>SUM(D38:F38)</f>
        <v>500</v>
      </c>
      <c r="H38" s="63"/>
      <c r="I38" s="63"/>
      <c r="J38" s="63"/>
      <c r="K38" s="63"/>
    </row>
    <row r="39" spans="1:11">
      <c r="A39" s="63"/>
      <c r="B39" s="63"/>
      <c r="C39" s="63"/>
      <c r="D39" s="63"/>
      <c r="E39" s="9"/>
      <c r="F39" s="9"/>
      <c r="G39" s="8"/>
      <c r="H39" s="63"/>
      <c r="I39" s="63"/>
      <c r="J39" s="63"/>
      <c r="K39" s="63"/>
    </row>
    <row r="40" spans="1:1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</row>
    <row r="41" spans="1:1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</row>
    <row r="42" spans="1:11">
      <c r="A42" s="50" t="s">
        <v>44</v>
      </c>
      <c r="B42" s="51" t="s">
        <v>45</v>
      </c>
      <c r="C42" s="63"/>
      <c r="D42" s="63"/>
      <c r="E42" s="63"/>
      <c r="F42" s="63"/>
      <c r="G42" s="63"/>
      <c r="H42" s="63"/>
      <c r="I42" s="63"/>
      <c r="J42" s="63"/>
      <c r="K42" s="63"/>
    </row>
    <row r="43" spans="1:11">
      <c r="A43" s="51" t="s">
        <v>46</v>
      </c>
      <c r="B43" s="52">
        <v>0</v>
      </c>
      <c r="C43" s="63"/>
      <c r="D43" s="63"/>
      <c r="E43" s="63"/>
      <c r="F43" s="63"/>
      <c r="G43" s="63"/>
      <c r="H43" s="63"/>
      <c r="I43" s="63"/>
      <c r="J43" s="63"/>
      <c r="K43" s="63"/>
    </row>
    <row r="44" spans="1:11">
      <c r="A44" s="53" t="s">
        <v>47</v>
      </c>
      <c r="B44" s="54">
        <f>F35</f>
        <v>500</v>
      </c>
      <c r="C44" s="63"/>
      <c r="D44" s="63"/>
      <c r="E44" s="63"/>
      <c r="F44" s="63"/>
      <c r="G44" s="63"/>
      <c r="H44" s="63"/>
      <c r="I44" s="63"/>
      <c r="J44" s="63"/>
      <c r="K44" s="63"/>
    </row>
    <row r="45" spans="1:11">
      <c r="A45" s="51" t="s">
        <v>48</v>
      </c>
      <c r="B45" s="52">
        <f>B43-B44</f>
        <v>-500</v>
      </c>
      <c r="C45" s="63"/>
      <c r="D45" s="63"/>
      <c r="E45" s="63"/>
      <c r="F45" s="63"/>
      <c r="G45" s="63"/>
      <c r="H45" s="63"/>
      <c r="I45" s="63"/>
      <c r="J45" s="63"/>
      <c r="K45" s="63"/>
    </row>
    <row r="46" spans="1:11">
      <c r="A46" s="53" t="s">
        <v>6</v>
      </c>
      <c r="B46" s="54">
        <f>B45*0.2</f>
        <v>-100</v>
      </c>
      <c r="C46" s="63"/>
      <c r="D46" s="63"/>
      <c r="E46" s="63"/>
      <c r="F46" s="63"/>
      <c r="G46" s="63"/>
      <c r="H46" s="63"/>
      <c r="I46" s="63"/>
      <c r="J46" s="63"/>
      <c r="K46" s="63"/>
    </row>
    <row r="47" spans="1:11">
      <c r="A47" s="53" t="s">
        <v>5</v>
      </c>
      <c r="B47" s="54">
        <f>B43-(B44+B46)</f>
        <v>-400</v>
      </c>
      <c r="C47" s="63"/>
      <c r="D47" s="63"/>
      <c r="E47" s="63"/>
      <c r="F47" s="63"/>
      <c r="G47" s="63"/>
      <c r="H47" s="63"/>
      <c r="I47" s="63"/>
      <c r="J47" s="63"/>
      <c r="K47" s="63"/>
    </row>
    <row r="48" spans="1:11">
      <c r="A48" s="51" t="s">
        <v>49</v>
      </c>
      <c r="B48" s="52">
        <f>B44+B46</f>
        <v>400</v>
      </c>
      <c r="C48" s="63"/>
      <c r="D48" s="63"/>
      <c r="E48" s="63"/>
      <c r="F48" s="63"/>
      <c r="G48" s="63"/>
      <c r="H48" s="63"/>
      <c r="I48" s="63"/>
      <c r="J48" s="63"/>
      <c r="K48" s="63"/>
    </row>
    <row r="49" spans="1:1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</row>
    <row r="50" spans="1:1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</row>
    <row r="51" spans="1:1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</row>
    <row r="52" spans="1:1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</row>
    <row r="53" spans="1:1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</row>
    <row r="54" spans="1:1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</row>
    <row r="55" spans="1:1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</row>
    <row r="56" spans="1:1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</row>
    <row r="57" spans="1:1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</row>
    <row r="58" spans="1:1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</row>
    <row r="59" spans="1:1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</row>
    <row r="60" spans="1:1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</row>
    <row r="61" spans="1:1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</row>
    <row r="62" spans="1:1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</row>
    <row r="63" spans="1:1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</row>
    <row r="64" spans="1:1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</row>
    <row r="65" spans="1:1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</row>
    <row r="66" spans="1:1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</row>
    <row r="67" spans="1:1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</row>
  </sheetData>
  <mergeCells count="6">
    <mergeCell ref="A32:G32"/>
    <mergeCell ref="A34:G34"/>
    <mergeCell ref="A5:G5"/>
    <mergeCell ref="A20:G20"/>
    <mergeCell ref="A26:G26"/>
    <mergeCell ref="A14:G14"/>
  </mergeCell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E0C0FA-9867-4A63-94F7-92811817BE49}">
          <x14:formula1>
            <xm:f>OFFSET(Influencers!$A$2,0,0,COUNTA(Influencers!$A:$A)-1,1)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C4E2-9DBF-4B5F-AB9A-CD1D1A4C3836}">
  <dimension ref="A1:I44"/>
  <sheetViews>
    <sheetView workbookViewId="0">
      <selection activeCell="I1" sqref="I1"/>
    </sheetView>
  </sheetViews>
  <sheetFormatPr defaultRowHeight="14.45"/>
  <cols>
    <col min="1" max="1" width="22.42578125" bestFit="1" customWidth="1"/>
    <col min="2" max="2" width="17.7109375" bestFit="1" customWidth="1"/>
    <col min="3" max="3" width="44" bestFit="1" customWidth="1"/>
    <col min="4" max="4" width="16.140625" bestFit="1" customWidth="1"/>
    <col min="5" max="5" width="36.28515625" bestFit="1" customWidth="1"/>
    <col min="6" max="6" width="9.28515625" bestFit="1" customWidth="1"/>
    <col min="7" max="7" width="44.42578125" bestFit="1" customWidth="1"/>
    <col min="8" max="8" width="16" bestFit="1" customWidth="1"/>
    <col min="9" max="9" width="31.85546875" bestFit="1" customWidth="1"/>
  </cols>
  <sheetData>
    <row r="1" spans="1:9">
      <c r="A1" t="s">
        <v>50</v>
      </c>
      <c r="B1" t="s">
        <v>10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>
      <c r="A2" t="s">
        <v>51</v>
      </c>
      <c r="B2">
        <v>1200</v>
      </c>
      <c r="C2">
        <v>1200</v>
      </c>
      <c r="D2">
        <v>2000</v>
      </c>
      <c r="E2">
        <v>2000</v>
      </c>
      <c r="F2">
        <v>1100</v>
      </c>
      <c r="G2">
        <v>2550</v>
      </c>
    </row>
    <row r="3" spans="1:9">
      <c r="A3" t="s">
        <v>52</v>
      </c>
      <c r="B3">
        <v>2000</v>
      </c>
      <c r="C3">
        <v>2000</v>
      </c>
      <c r="D3">
        <v>2800</v>
      </c>
      <c r="E3">
        <v>2800</v>
      </c>
    </row>
    <row r="4" spans="1:9">
      <c r="A4" t="s">
        <v>1</v>
      </c>
      <c r="B4">
        <v>1100</v>
      </c>
      <c r="C4">
        <v>1100</v>
      </c>
      <c r="D4">
        <v>1600</v>
      </c>
      <c r="E4">
        <v>1250</v>
      </c>
      <c r="F4">
        <v>1850</v>
      </c>
      <c r="G4">
        <v>2650</v>
      </c>
    </row>
    <row r="5" spans="1:9">
      <c r="A5" t="s">
        <v>53</v>
      </c>
      <c r="B5">
        <v>1150</v>
      </c>
      <c r="C5">
        <v>1150</v>
      </c>
      <c r="D5">
        <v>1500</v>
      </c>
      <c r="E5">
        <v>1275</v>
      </c>
    </row>
    <row r="6" spans="1:9">
      <c r="A6" t="s">
        <v>54</v>
      </c>
      <c r="B6">
        <v>1000</v>
      </c>
      <c r="C6">
        <v>1000</v>
      </c>
      <c r="D6">
        <v>1500</v>
      </c>
      <c r="E6">
        <v>1500</v>
      </c>
      <c r="F6">
        <v>1000</v>
      </c>
      <c r="G6">
        <v>2000</v>
      </c>
    </row>
    <row r="7" spans="1:9">
      <c r="A7" t="s">
        <v>55</v>
      </c>
      <c r="B7">
        <v>2500</v>
      </c>
      <c r="C7">
        <v>2500</v>
      </c>
      <c r="D7">
        <v>3000</v>
      </c>
      <c r="E7">
        <v>3000</v>
      </c>
      <c r="F7">
        <v>2000</v>
      </c>
      <c r="G7">
        <v>4000</v>
      </c>
    </row>
    <row r="8" spans="1:9">
      <c r="A8" t="s">
        <v>56</v>
      </c>
      <c r="B8">
        <v>1850</v>
      </c>
      <c r="C8">
        <v>1850</v>
      </c>
      <c r="D8">
        <v>3000</v>
      </c>
      <c r="E8">
        <v>2000</v>
      </c>
      <c r="F8">
        <v>1800</v>
      </c>
      <c r="G8">
        <v>3900</v>
      </c>
    </row>
    <row r="9" spans="1:9">
      <c r="A9" t="s">
        <v>57</v>
      </c>
      <c r="B9">
        <v>2000</v>
      </c>
      <c r="C9">
        <v>2000</v>
      </c>
      <c r="D9">
        <v>2925</v>
      </c>
      <c r="E9">
        <v>2750</v>
      </c>
      <c r="F9">
        <v>2500</v>
      </c>
      <c r="G9">
        <v>4175</v>
      </c>
    </row>
    <row r="10" spans="1:9">
      <c r="A10" t="s">
        <v>58</v>
      </c>
      <c r="B10">
        <v>1350</v>
      </c>
      <c r="C10">
        <v>1350</v>
      </c>
      <c r="D10">
        <v>2200</v>
      </c>
      <c r="E10">
        <v>2200</v>
      </c>
    </row>
    <row r="11" spans="1:9">
      <c r="A11" t="s">
        <v>59</v>
      </c>
      <c r="B11">
        <v>850</v>
      </c>
      <c r="C11">
        <v>850</v>
      </c>
      <c r="D11">
        <v>1100</v>
      </c>
      <c r="E11">
        <v>1100</v>
      </c>
      <c r="F11">
        <v>1700</v>
      </c>
      <c r="G11">
        <v>2250</v>
      </c>
      <c r="H11">
        <v>1900</v>
      </c>
      <c r="I11">
        <v>2500</v>
      </c>
    </row>
    <row r="12" spans="1:9">
      <c r="A12" t="s">
        <v>60</v>
      </c>
      <c r="B12">
        <v>2000</v>
      </c>
      <c r="C12">
        <v>2000</v>
      </c>
      <c r="D12">
        <v>3000</v>
      </c>
      <c r="E12">
        <v>3000</v>
      </c>
      <c r="F12">
        <v>1800</v>
      </c>
      <c r="G12">
        <v>3900</v>
      </c>
    </row>
    <row r="13" spans="1:9">
      <c r="A13" t="s">
        <v>61</v>
      </c>
      <c r="B13">
        <v>1300</v>
      </c>
      <c r="C13">
        <v>1300</v>
      </c>
      <c r="D13">
        <v>2200</v>
      </c>
      <c r="E13">
        <v>2200</v>
      </c>
    </row>
    <row r="14" spans="1:9">
      <c r="A14" t="s">
        <v>62</v>
      </c>
      <c r="B14">
        <v>1000</v>
      </c>
      <c r="C14">
        <v>1000</v>
      </c>
      <c r="D14">
        <v>1350</v>
      </c>
      <c r="E14">
        <v>1350</v>
      </c>
      <c r="F14">
        <v>750</v>
      </c>
      <c r="G14">
        <v>1725</v>
      </c>
    </row>
    <row r="15" spans="1:9">
      <c r="A15" t="s">
        <v>63</v>
      </c>
      <c r="B15">
        <v>1100</v>
      </c>
      <c r="C15">
        <v>1100</v>
      </c>
      <c r="D15">
        <v>2800</v>
      </c>
      <c r="E15">
        <v>2800</v>
      </c>
      <c r="F15">
        <v>850</v>
      </c>
      <c r="G15">
        <v>3225</v>
      </c>
    </row>
    <row r="16" spans="1:9">
      <c r="A16" t="s">
        <v>64</v>
      </c>
      <c r="B16">
        <v>1155</v>
      </c>
      <c r="C16">
        <v>1155</v>
      </c>
      <c r="D16">
        <v>1815</v>
      </c>
      <c r="E16">
        <v>1815</v>
      </c>
      <c r="F16">
        <v>450</v>
      </c>
      <c r="G16">
        <v>2040</v>
      </c>
    </row>
    <row r="17" spans="1:7">
      <c r="A17" t="s">
        <v>65</v>
      </c>
      <c r="B17">
        <v>770</v>
      </c>
      <c r="C17">
        <v>770</v>
      </c>
      <c r="D17">
        <v>990</v>
      </c>
      <c r="E17">
        <v>990</v>
      </c>
      <c r="F17">
        <v>600</v>
      </c>
      <c r="G17">
        <v>1290</v>
      </c>
    </row>
    <row r="18" spans="1:7">
      <c r="A18" t="s">
        <v>66</v>
      </c>
      <c r="B18">
        <v>1300</v>
      </c>
      <c r="C18">
        <v>1300</v>
      </c>
      <c r="D18">
        <v>2600</v>
      </c>
      <c r="E18">
        <v>2200</v>
      </c>
      <c r="F18">
        <v>1900</v>
      </c>
      <c r="G18">
        <v>3550</v>
      </c>
    </row>
    <row r="19" spans="1:7">
      <c r="A19" t="s">
        <v>67</v>
      </c>
      <c r="B19">
        <v>1100</v>
      </c>
      <c r="C19">
        <v>1100</v>
      </c>
      <c r="D19">
        <v>1815</v>
      </c>
      <c r="E19">
        <v>1815</v>
      </c>
    </row>
    <row r="20" spans="1:7">
      <c r="A20" t="s">
        <v>68</v>
      </c>
      <c r="B20">
        <v>1500</v>
      </c>
      <c r="C20">
        <v>1500</v>
      </c>
      <c r="D20">
        <v>2600</v>
      </c>
      <c r="E20">
        <v>2600</v>
      </c>
      <c r="F20">
        <v>2990</v>
      </c>
      <c r="G20">
        <v>4290</v>
      </c>
    </row>
    <row r="21" spans="1:7">
      <c r="A21" t="s">
        <v>69</v>
      </c>
      <c r="B21">
        <v>2000</v>
      </c>
      <c r="C21">
        <v>2000</v>
      </c>
      <c r="D21">
        <v>2850</v>
      </c>
      <c r="E21">
        <v>2850</v>
      </c>
      <c r="F21">
        <v>1000</v>
      </c>
      <c r="G21">
        <v>3350</v>
      </c>
    </row>
    <row r="22" spans="1:7">
      <c r="A22" t="s">
        <v>70</v>
      </c>
      <c r="B22">
        <v>900</v>
      </c>
      <c r="C22">
        <v>900</v>
      </c>
      <c r="D22">
        <v>1200</v>
      </c>
      <c r="E22">
        <v>1200</v>
      </c>
    </row>
    <row r="23" spans="1:7">
      <c r="A23" t="s">
        <v>71</v>
      </c>
      <c r="B23">
        <v>1000</v>
      </c>
      <c r="C23">
        <v>1000</v>
      </c>
      <c r="D23">
        <v>1650</v>
      </c>
      <c r="E23">
        <v>1650</v>
      </c>
    </row>
    <row r="24" spans="1:7">
      <c r="A24" t="s">
        <v>72</v>
      </c>
      <c r="B24">
        <v>1200</v>
      </c>
      <c r="C24">
        <v>1200</v>
      </c>
      <c r="D24">
        <v>2000</v>
      </c>
      <c r="E24">
        <v>2000</v>
      </c>
      <c r="F24">
        <v>2600</v>
      </c>
      <c r="G24">
        <v>3600</v>
      </c>
    </row>
    <row r="25" spans="1:7">
      <c r="A25" t="s">
        <v>73</v>
      </c>
      <c r="B25">
        <v>1750</v>
      </c>
      <c r="C25">
        <v>1750</v>
      </c>
      <c r="D25">
        <v>2150</v>
      </c>
      <c r="E25">
        <v>2150</v>
      </c>
      <c r="F25">
        <v>2700</v>
      </c>
      <c r="G25">
        <v>3775</v>
      </c>
    </row>
    <row r="26" spans="1:7">
      <c r="A26" t="s">
        <v>74</v>
      </c>
      <c r="B26">
        <v>800</v>
      </c>
      <c r="C26">
        <v>800</v>
      </c>
      <c r="D26">
        <v>1100</v>
      </c>
      <c r="E26">
        <v>1100</v>
      </c>
    </row>
    <row r="27" spans="1:7">
      <c r="A27" t="s">
        <v>75</v>
      </c>
      <c r="B27">
        <v>650</v>
      </c>
      <c r="C27">
        <v>650</v>
      </c>
      <c r="D27">
        <v>950</v>
      </c>
      <c r="E27">
        <v>950</v>
      </c>
      <c r="F27">
        <v>1750</v>
      </c>
      <c r="G27">
        <v>2225</v>
      </c>
    </row>
    <row r="28" spans="1:7">
      <c r="A28" t="s">
        <v>76</v>
      </c>
      <c r="B28">
        <v>1056</v>
      </c>
      <c r="C28">
        <v>1056</v>
      </c>
      <c r="D28">
        <v>1800</v>
      </c>
      <c r="E28">
        <v>1800</v>
      </c>
    </row>
    <row r="29" spans="1:7">
      <c r="A29" t="s">
        <v>77</v>
      </c>
      <c r="B29">
        <v>1250</v>
      </c>
      <c r="C29">
        <v>1250</v>
      </c>
      <c r="D29">
        <v>1815</v>
      </c>
      <c r="E29">
        <v>1815</v>
      </c>
    </row>
    <row r="30" spans="1:7">
      <c r="A30" t="s">
        <v>78</v>
      </c>
      <c r="B30">
        <v>1000</v>
      </c>
      <c r="C30">
        <v>1000</v>
      </c>
      <c r="D30">
        <v>1300</v>
      </c>
      <c r="E30">
        <v>1300</v>
      </c>
      <c r="F30">
        <v>1500</v>
      </c>
      <c r="G30">
        <v>2150</v>
      </c>
    </row>
    <row r="31" spans="1:7">
      <c r="A31" t="s">
        <v>79</v>
      </c>
      <c r="B31">
        <v>1150</v>
      </c>
      <c r="C31">
        <v>1150</v>
      </c>
      <c r="D31">
        <v>1400</v>
      </c>
      <c r="E31">
        <v>1400</v>
      </c>
      <c r="F31">
        <v>450</v>
      </c>
      <c r="G31">
        <v>1625</v>
      </c>
    </row>
    <row r="32" spans="1:7">
      <c r="A32" t="s">
        <v>80</v>
      </c>
      <c r="B32">
        <v>750</v>
      </c>
      <c r="C32">
        <v>750</v>
      </c>
      <c r="D32">
        <v>1050</v>
      </c>
      <c r="E32">
        <v>1050</v>
      </c>
      <c r="F32">
        <v>900</v>
      </c>
      <c r="G32">
        <v>1425</v>
      </c>
    </row>
    <row r="33" spans="1:7">
      <c r="A33" t="s">
        <v>81</v>
      </c>
      <c r="B33">
        <v>660</v>
      </c>
      <c r="C33">
        <v>660</v>
      </c>
      <c r="D33">
        <v>935</v>
      </c>
      <c r="E33">
        <v>935</v>
      </c>
      <c r="F33">
        <v>935</v>
      </c>
      <c r="G33">
        <v>1403</v>
      </c>
    </row>
    <row r="34" spans="1:7">
      <c r="A34" t="s">
        <v>82</v>
      </c>
      <c r="B34">
        <v>660</v>
      </c>
      <c r="C34">
        <v>660</v>
      </c>
      <c r="D34">
        <v>1500</v>
      </c>
      <c r="E34">
        <v>785</v>
      </c>
      <c r="F34">
        <v>1500</v>
      </c>
      <c r="G34">
        <v>2250</v>
      </c>
    </row>
    <row r="35" spans="1:7">
      <c r="A35" t="s">
        <v>83</v>
      </c>
      <c r="B35">
        <v>450</v>
      </c>
      <c r="C35">
        <v>450</v>
      </c>
      <c r="D35">
        <v>600</v>
      </c>
      <c r="E35">
        <v>600</v>
      </c>
      <c r="F35">
        <v>1000</v>
      </c>
      <c r="G35">
        <v>1300</v>
      </c>
    </row>
    <row r="36" spans="1:7">
      <c r="A36" t="s">
        <v>84</v>
      </c>
      <c r="B36">
        <v>900</v>
      </c>
      <c r="C36">
        <v>900</v>
      </c>
      <c r="D36">
        <v>1050</v>
      </c>
      <c r="E36">
        <v>1025</v>
      </c>
      <c r="F36">
        <v>1350</v>
      </c>
      <c r="G36">
        <v>1875</v>
      </c>
    </row>
    <row r="37" spans="1:7">
      <c r="A37" t="s">
        <v>85</v>
      </c>
      <c r="B37">
        <v>325</v>
      </c>
      <c r="C37">
        <v>325</v>
      </c>
      <c r="D37">
        <v>400</v>
      </c>
      <c r="E37">
        <v>450</v>
      </c>
      <c r="F37">
        <v>1200</v>
      </c>
      <c r="G37">
        <v>1400</v>
      </c>
    </row>
    <row r="38" spans="1:7">
      <c r="A38" t="s">
        <v>86</v>
      </c>
      <c r="B38">
        <v>380</v>
      </c>
      <c r="C38">
        <v>380</v>
      </c>
      <c r="D38">
        <v>500</v>
      </c>
      <c r="E38">
        <v>500</v>
      </c>
      <c r="F38">
        <v>1250</v>
      </c>
      <c r="G38">
        <v>1500</v>
      </c>
    </row>
    <row r="39" spans="1:7">
      <c r="A39" t="s">
        <v>87</v>
      </c>
      <c r="B39">
        <v>1300</v>
      </c>
      <c r="C39">
        <v>1300</v>
      </c>
      <c r="D39">
        <v>1900</v>
      </c>
      <c r="E39">
        <v>1900</v>
      </c>
      <c r="F39">
        <v>2100</v>
      </c>
      <c r="G39">
        <v>3050</v>
      </c>
    </row>
    <row r="40" spans="1:7">
      <c r="A40" t="s">
        <v>88</v>
      </c>
      <c r="B40">
        <v>380</v>
      </c>
      <c r="C40">
        <v>380</v>
      </c>
      <c r="D40">
        <v>500</v>
      </c>
      <c r="E40">
        <v>500</v>
      </c>
      <c r="F40">
        <v>1750</v>
      </c>
      <c r="G40">
        <v>2000</v>
      </c>
    </row>
    <row r="41" spans="1:7">
      <c r="A41" t="s">
        <v>89</v>
      </c>
      <c r="B41">
        <v>1000</v>
      </c>
      <c r="C41">
        <v>1000</v>
      </c>
      <c r="D41">
        <v>1200</v>
      </c>
      <c r="E41">
        <v>1200</v>
      </c>
    </row>
    <row r="42" spans="1:7">
      <c r="A42" t="s">
        <v>90</v>
      </c>
      <c r="B42">
        <v>1150</v>
      </c>
      <c r="C42">
        <v>1150</v>
      </c>
      <c r="D42">
        <v>2000</v>
      </c>
      <c r="E42">
        <v>1300</v>
      </c>
      <c r="F42">
        <v>800</v>
      </c>
      <c r="G42">
        <v>2400</v>
      </c>
    </row>
    <row r="43" spans="1:7">
      <c r="A43" t="s">
        <v>91</v>
      </c>
      <c r="B43">
        <v>800</v>
      </c>
      <c r="C43">
        <v>800</v>
      </c>
      <c r="D43">
        <v>1200</v>
      </c>
      <c r="E43">
        <v>1200</v>
      </c>
      <c r="F43">
        <v>1500</v>
      </c>
      <c r="G43">
        <v>2100</v>
      </c>
    </row>
    <row r="44" spans="1:7">
      <c r="A44" t="s">
        <v>92</v>
      </c>
      <c r="B44">
        <v>420</v>
      </c>
      <c r="C44">
        <v>420</v>
      </c>
      <c r="D44">
        <v>500</v>
      </c>
      <c r="E44">
        <v>500</v>
      </c>
      <c r="F44">
        <v>1100</v>
      </c>
      <c r="G44">
        <v>1350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3C25D3FE7BF04DAF78E31EEB3BB5A2" ma:contentTypeVersion="15" ma:contentTypeDescription="Create a new document." ma:contentTypeScope="" ma:versionID="cc24d8864426989a4dcbea26453f61b5">
  <xsd:schema xmlns:xsd="http://www.w3.org/2001/XMLSchema" xmlns:xs="http://www.w3.org/2001/XMLSchema" xmlns:p="http://schemas.microsoft.com/office/2006/metadata/properties" xmlns:ns2="71ffd958-2aa1-4d1c-8df0-0ba6cf96be9a" xmlns:ns3="d1167a66-5446-4f35-ad43-a2d5322bab20" targetNamespace="http://schemas.microsoft.com/office/2006/metadata/properties" ma:root="true" ma:fieldsID="31742ae25449de560586a6ebfe5f62e9" ns2:_="" ns3:_="">
    <xsd:import namespace="71ffd958-2aa1-4d1c-8df0-0ba6cf96be9a"/>
    <xsd:import namespace="d1167a66-5446-4f35-ad43-a2d5322bab2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fd958-2aa1-4d1c-8df0-0ba6cf96be9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aea2042-5190-4d21-9b3c-017fe9a7af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167a66-5446-4f35-ad43-a2d5322bab2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4e6d910-a657-4f0b-afd5-b9068a71e04e}" ma:internalName="TaxCatchAll" ma:showField="CatchAllData" ma:web="d1167a66-5446-4f35-ad43-a2d5322ba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ffd958-2aa1-4d1c-8df0-0ba6cf96be9a">
      <Terms xmlns="http://schemas.microsoft.com/office/infopath/2007/PartnerControls"/>
    </lcf76f155ced4ddcb4097134ff3c332f>
    <TaxCatchAll xmlns="d1167a66-5446-4f35-ad43-a2d5322bab20" xsi:nil="true"/>
  </documentManagement>
</p:properties>
</file>

<file path=customXml/itemProps1.xml><?xml version="1.0" encoding="utf-8"?>
<ds:datastoreItem xmlns:ds="http://schemas.openxmlformats.org/officeDocument/2006/customXml" ds:itemID="{115F976D-18B4-470A-948C-777EF2860F5B}"/>
</file>

<file path=customXml/itemProps2.xml><?xml version="1.0" encoding="utf-8"?>
<ds:datastoreItem xmlns:ds="http://schemas.openxmlformats.org/officeDocument/2006/customXml" ds:itemID="{ADCC84D0-8C70-4BDA-9B22-AE704EA8B473}"/>
</file>

<file path=customXml/itemProps3.xml><?xml version="1.0" encoding="utf-8"?>
<ds:datastoreItem xmlns:ds="http://schemas.openxmlformats.org/officeDocument/2006/customXml" ds:itemID="{2E2FEE34-EF86-4ED2-B22E-AAECDBF14FFE}"/>
</file>

<file path=customXml/itemProps4.xml><?xml version="1.0" encoding="utf-8"?>
<ds:datastoreItem xmlns:ds="http://schemas.openxmlformats.org/officeDocument/2006/customXml" ds:itemID="{9EE37FCA-DB19-4F30-9EF8-76DFDEA607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Undertow</dc:creator>
  <cp:keywords/>
  <dc:description/>
  <cp:lastModifiedBy/>
  <cp:revision/>
  <dcterms:created xsi:type="dcterms:W3CDTF">2021-02-03T01:31:11Z</dcterms:created>
  <dcterms:modified xsi:type="dcterms:W3CDTF">2026-01-22T01:50:36Z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0x010100C13C25D3FE7BF04DAF78E31EEB3BB5A2</vt:lpwstr>
  </property>
  <property fmtid="{D5CDD505-2E9C-101B-9397-08002B2CF9AE}" pid="3" name="Order">
    <vt:r8>3200</vt:r8>
  </property>
  <property fmtid="{D5CDD505-2E9C-101B-9397-08002B2CF9AE}" pid="4" name="MediaServiceImageTags">
    <vt:lpwstr/>
  </property>
</Properties>
</file>